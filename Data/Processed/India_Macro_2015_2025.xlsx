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v Sharma\Downloads\"/>
    </mc:Choice>
  </mc:AlternateContent>
  <xr:revisionPtr revIDLastSave="0" documentId="13_ncr:1_{D3D17B18-26D6-4389-B936-600C25B18117}" xr6:coauthVersionLast="47" xr6:coauthVersionMax="47" xr10:uidLastSave="{00000000-0000-0000-0000-000000000000}"/>
  <bookViews>
    <workbookView xWindow="-108" yWindow="-108" windowWidth="23256" windowHeight="12456" xr2:uid="{4D868B42-8ED1-40E6-9E26-B2CA41D919BD}"/>
  </bookViews>
  <sheets>
    <sheet name="India_Macro_2015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  <c r="L7" i="1"/>
  <c r="L6" i="1"/>
  <c r="L4" i="1"/>
  <c r="L5" i="1"/>
  <c r="L8" i="1"/>
  <c r="L9" i="1"/>
  <c r="L10" i="1"/>
  <c r="L11" i="1"/>
  <c r="L12" i="1"/>
  <c r="L3" i="1"/>
  <c r="K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J12" i="1"/>
  <c r="J2" i="1"/>
</calcChain>
</file>

<file path=xl/sharedStrings.xml><?xml version="1.0" encoding="utf-8"?>
<sst xmlns="http://schemas.openxmlformats.org/spreadsheetml/2006/main" count="13" uniqueCount="13">
  <si>
    <t>Year</t>
  </si>
  <si>
    <t>GDP_Growth</t>
  </si>
  <si>
    <t>Inflation</t>
  </si>
  <si>
    <t>Exchange_Rate</t>
  </si>
  <si>
    <t>FDI</t>
  </si>
  <si>
    <t>Fiscal_Deficit</t>
  </si>
  <si>
    <t>CAD</t>
  </si>
  <si>
    <t>Exports</t>
  </si>
  <si>
    <t>Imports</t>
  </si>
  <si>
    <t>Scenario for Growth</t>
  </si>
  <si>
    <t>Scenario for Inflation</t>
  </si>
  <si>
    <t>Scenario for CAD</t>
  </si>
  <si>
    <t>Scenario for 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</si>
</sst>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4204-652D-4C57-80B8-D415FAEAA39E}">
  <dimension ref="A1:M12"/>
  <sheetViews>
    <sheetView tabSelected="1" workbookViewId="0">
      <selection activeCell="E2" sqref="E2"/>
    </sheetView>
  </sheetViews>
  <sheetFormatPr defaultRowHeight="14.4" x14ac:dyDescent="0.3"/>
  <cols>
    <col min="2" max="2" width="15.21875" bestFit="1" customWidth="1"/>
    <col min="3" max="3" width="11.44140625" bestFit="1" customWidth="1"/>
    <col min="4" max="4" width="26" bestFit="1" customWidth="1"/>
    <col min="5" max="5" width="14.21875" bestFit="1" customWidth="1"/>
    <col min="6" max="6" width="22.109375" bestFit="1" customWidth="1"/>
    <col min="7" max="7" width="12.44140625" bestFit="1" customWidth="1"/>
    <col min="8" max="8" width="15.21875" bestFit="1" customWidth="1"/>
    <col min="9" max="9" width="15.44140625" bestFit="1" customWidth="1"/>
    <col min="10" max="10" width="17.6640625" customWidth="1"/>
    <col min="11" max="11" width="18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2015</v>
      </c>
      <c r="B2">
        <v>7.9960000000000004</v>
      </c>
      <c r="C2">
        <v>4.907</v>
      </c>
      <c r="D2">
        <v>64.152000000000001</v>
      </c>
      <c r="E2">
        <v>45.15</v>
      </c>
      <c r="J2" t="str">
        <f>IF(B2&lt;4,"Bear",IF(B2&lt;8,"Base","Bull"))</f>
        <v>Base</v>
      </c>
      <c r="K2" t="str">
        <f>IF(C2&gt;7,"Bear",IF(C2&lt;4,"Bull","Base"))</f>
        <v>Base</v>
      </c>
      <c r="M2" t="str">
        <f>IF(E2&lt;60,"Bear",IF(E2&lt;90,"Base","Bull"))</f>
        <v>Bear</v>
      </c>
    </row>
    <row r="3" spans="1:13" x14ac:dyDescent="0.3">
      <c r="A3">
        <v>2016</v>
      </c>
      <c r="B3">
        <v>8.2560000000000002</v>
      </c>
      <c r="C3">
        <v>4.9480000000000004</v>
      </c>
      <c r="D3">
        <v>67.194999999999993</v>
      </c>
      <c r="E3">
        <v>55.56</v>
      </c>
      <c r="F3">
        <v>9524.1</v>
      </c>
      <c r="G3">
        <v>-1.0529999999999999</v>
      </c>
      <c r="H3">
        <v>12.662000000000001</v>
      </c>
      <c r="I3">
        <v>18.846</v>
      </c>
      <c r="J3" t="str">
        <f t="shared" ref="J3:J12" si="0">IF(B3&lt;4,"Bear",IF(B3&lt;8,"Base","Bull"))</f>
        <v>Bull</v>
      </c>
      <c r="K3" t="str">
        <f t="shared" ref="K3:K12" si="1">IF(C3&gt;7,"Bear",IF(C3&lt;4,"Bull","Base"))</f>
        <v>Base</v>
      </c>
      <c r="L3" t="str">
        <f>IF(G3&lt;-3,"Bear",IF(G3&lt;-1,"Base","Bull"))</f>
        <v>Base</v>
      </c>
      <c r="M3" t="str">
        <f t="shared" ref="M3:M12" si="2">IF(E3&lt;60,"Bear",IF(E3&lt;90,"Base","Bull"))</f>
        <v>Bear</v>
      </c>
    </row>
    <row r="4" spans="1:13" x14ac:dyDescent="0.3">
      <c r="A4">
        <v>2017</v>
      </c>
      <c r="B4">
        <v>6.7949999999999999</v>
      </c>
      <c r="C4">
        <v>3.3279999999999998</v>
      </c>
      <c r="D4">
        <v>65.122</v>
      </c>
      <c r="E4">
        <v>60.22</v>
      </c>
      <c r="F4">
        <v>10647.04</v>
      </c>
      <c r="G4">
        <v>-0.628</v>
      </c>
      <c r="H4">
        <v>12.208</v>
      </c>
      <c r="I4">
        <v>17.106999999999999</v>
      </c>
      <c r="J4" t="str">
        <f t="shared" si="0"/>
        <v>Base</v>
      </c>
      <c r="K4" t="str">
        <f t="shared" si="1"/>
        <v>Bull</v>
      </c>
      <c r="L4" t="str">
        <f t="shared" ref="L4:L12" si="3">IF(G4&lt;-3,"Bear",IF(G4&lt;-1,"Base","Bull"))</f>
        <v>Bull</v>
      </c>
      <c r="M4" t="str">
        <f t="shared" si="2"/>
        <v>Base</v>
      </c>
    </row>
    <row r="5" spans="1:13" x14ac:dyDescent="0.3">
      <c r="A5">
        <v>2018</v>
      </c>
      <c r="B5">
        <v>6.4539999999999997</v>
      </c>
      <c r="C5">
        <v>3.9390000000000001</v>
      </c>
      <c r="D5">
        <v>68.388999999999996</v>
      </c>
      <c r="E5">
        <v>60.97</v>
      </c>
      <c r="F5">
        <v>9970.9699999999993</v>
      </c>
      <c r="G5">
        <v>-1.837</v>
      </c>
      <c r="H5">
        <v>11.653</v>
      </c>
      <c r="I5">
        <v>17.689</v>
      </c>
      <c r="J5" t="str">
        <f t="shared" si="0"/>
        <v>Base</v>
      </c>
      <c r="K5" t="str">
        <f t="shared" si="1"/>
        <v>Bull</v>
      </c>
      <c r="L5" t="str">
        <f t="shared" si="3"/>
        <v>Base</v>
      </c>
      <c r="M5" t="str">
        <f t="shared" si="2"/>
        <v>Base</v>
      </c>
    </row>
    <row r="6" spans="1:13" x14ac:dyDescent="0.3">
      <c r="A6">
        <v>2019</v>
      </c>
      <c r="B6">
        <v>3.871</v>
      </c>
      <c r="C6">
        <v>3.73</v>
      </c>
      <c r="D6">
        <v>70.42</v>
      </c>
      <c r="E6">
        <v>62</v>
      </c>
      <c r="F6">
        <v>11027.29</v>
      </c>
      <c r="G6">
        <v>-2.1179999999999999</v>
      </c>
      <c r="H6">
        <v>12.477</v>
      </c>
      <c r="I6">
        <v>19.146999999999998</v>
      </c>
      <c r="J6" t="str">
        <f t="shared" si="0"/>
        <v>Bear</v>
      </c>
      <c r="K6" t="str">
        <f t="shared" si="1"/>
        <v>Bull</v>
      </c>
      <c r="L6" t="str">
        <f t="shared" si="3"/>
        <v>Base</v>
      </c>
      <c r="M6" t="str">
        <f t="shared" si="2"/>
        <v>Base</v>
      </c>
    </row>
    <row r="7" spans="1:13" x14ac:dyDescent="0.3">
      <c r="A7">
        <v>2020</v>
      </c>
      <c r="B7">
        <v>-5.7779999999999996</v>
      </c>
      <c r="C7">
        <v>6.6230000000000002</v>
      </c>
      <c r="D7">
        <v>74.099999999999994</v>
      </c>
      <c r="E7">
        <v>74.39</v>
      </c>
      <c r="F7">
        <v>14492.303</v>
      </c>
      <c r="G7">
        <v>-0.87</v>
      </c>
      <c r="H7">
        <v>11.3</v>
      </c>
      <c r="I7">
        <v>16.855</v>
      </c>
      <c r="J7" t="str">
        <f t="shared" si="0"/>
        <v>Bear</v>
      </c>
      <c r="K7" t="str">
        <f t="shared" si="1"/>
        <v>Base</v>
      </c>
      <c r="L7" t="str">
        <f>IF(G7&lt;-3,"Bear",IF(G7&lt;-1,"Base","Bull"))</f>
        <v>Bull</v>
      </c>
      <c r="M7" t="str">
        <f t="shared" si="2"/>
        <v>Base</v>
      </c>
    </row>
    <row r="8" spans="1:13" x14ac:dyDescent="0.3">
      <c r="A8">
        <v>2021</v>
      </c>
      <c r="B8">
        <v>9.69</v>
      </c>
      <c r="C8">
        <v>5.1310000000000002</v>
      </c>
      <c r="D8">
        <v>73.918000000000006</v>
      </c>
      <c r="E8">
        <v>81.97</v>
      </c>
      <c r="F8">
        <v>26003.35</v>
      </c>
      <c r="G8">
        <v>0.89400000000000002</v>
      </c>
      <c r="H8">
        <v>11.077</v>
      </c>
      <c r="I8">
        <v>14.896000000000001</v>
      </c>
      <c r="J8" t="str">
        <f t="shared" si="0"/>
        <v>Bull</v>
      </c>
      <c r="K8" t="str">
        <f t="shared" si="1"/>
        <v>Base</v>
      </c>
      <c r="L8" t="str">
        <f t="shared" si="3"/>
        <v>Bull</v>
      </c>
      <c r="M8" t="str">
        <f t="shared" si="2"/>
        <v>Base</v>
      </c>
    </row>
    <row r="9" spans="1:13" x14ac:dyDescent="0.3">
      <c r="A9">
        <v>2022</v>
      </c>
      <c r="B9">
        <v>7.609</v>
      </c>
      <c r="C9">
        <v>6.6989999999999998</v>
      </c>
      <c r="D9">
        <v>78.603999999999999</v>
      </c>
      <c r="E9">
        <v>84.84</v>
      </c>
      <c r="F9">
        <v>22305.534</v>
      </c>
      <c r="G9">
        <v>-1.224</v>
      </c>
      <c r="H9">
        <v>13.55</v>
      </c>
      <c r="I9">
        <v>19.532</v>
      </c>
      <c r="J9" t="str">
        <f t="shared" si="0"/>
        <v>Base</v>
      </c>
      <c r="K9" t="str">
        <f t="shared" si="1"/>
        <v>Base</v>
      </c>
      <c r="L9" t="str">
        <f t="shared" si="3"/>
        <v>Base</v>
      </c>
      <c r="M9" t="str">
        <f t="shared" si="2"/>
        <v>Base</v>
      </c>
    </row>
    <row r="10" spans="1:13" x14ac:dyDescent="0.3">
      <c r="A10">
        <v>2023</v>
      </c>
      <c r="B10">
        <v>9.1910000000000007</v>
      </c>
      <c r="C10">
        <v>5.649</v>
      </c>
      <c r="D10">
        <v>82.599000000000004</v>
      </c>
      <c r="E10">
        <v>71.36</v>
      </c>
      <c r="F10">
        <v>23698.92</v>
      </c>
      <c r="G10">
        <v>-2.004</v>
      </c>
      <c r="H10">
        <v>13.63</v>
      </c>
      <c r="I10">
        <v>21.558</v>
      </c>
      <c r="J10" t="str">
        <f t="shared" si="0"/>
        <v>Bull</v>
      </c>
      <c r="K10" t="str">
        <f t="shared" si="1"/>
        <v>Base</v>
      </c>
      <c r="L10" t="str">
        <f t="shared" si="3"/>
        <v>Base</v>
      </c>
      <c r="M10" t="str">
        <f t="shared" si="2"/>
        <v>Base</v>
      </c>
    </row>
    <row r="11" spans="1:13" x14ac:dyDescent="0.3">
      <c r="A11">
        <v>2024</v>
      </c>
      <c r="B11">
        <v>6.4950000000000001</v>
      </c>
      <c r="C11">
        <v>4.9530000000000003</v>
      </c>
      <c r="D11">
        <v>83.668999999999997</v>
      </c>
      <c r="E11">
        <v>71.3</v>
      </c>
      <c r="F11">
        <v>26446.423999999999</v>
      </c>
      <c r="G11">
        <v>-0.71799999999999997</v>
      </c>
      <c r="H11">
        <v>12.132999999999999</v>
      </c>
      <c r="I11">
        <v>18.864000000000001</v>
      </c>
      <c r="J11" t="str">
        <f t="shared" si="0"/>
        <v>Base</v>
      </c>
      <c r="K11" t="str">
        <f t="shared" si="1"/>
        <v>Base</v>
      </c>
      <c r="L11" t="str">
        <f t="shared" si="3"/>
        <v>Bull</v>
      </c>
      <c r="M11" t="str">
        <f t="shared" si="2"/>
        <v>Base</v>
      </c>
    </row>
    <row r="12" spans="1:13" x14ac:dyDescent="0.3">
      <c r="A12">
        <v>2025</v>
      </c>
      <c r="B12">
        <v>6.4950000000000001</v>
      </c>
      <c r="D12">
        <v>87.165999999999997</v>
      </c>
      <c r="E12">
        <v>80.62</v>
      </c>
      <c r="F12">
        <v>24729.115000000002</v>
      </c>
      <c r="G12">
        <v>-0.59799999999999998</v>
      </c>
      <c r="H12">
        <v>11.298999999999999</v>
      </c>
      <c r="I12">
        <v>18.645</v>
      </c>
      <c r="J12" t="str">
        <f t="shared" si="0"/>
        <v>Base</v>
      </c>
      <c r="L12" t="str">
        <f t="shared" si="3"/>
        <v>Bull</v>
      </c>
      <c r="M12" t="str">
        <f t="shared" si="2"/>
        <v>Base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India_Macro_2015_2025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Sharma</dc:creator>
  <cp:lastModifiedBy>Keshav Sharma</cp:lastModifiedBy>
  <dcterms:created xsi:type="dcterms:W3CDTF">2026-04-22T10:30:53Z</dcterms:created>
  <dcterms:modified xsi:type="dcterms:W3CDTF">2026-04-25T10:04:08Z</dcterms:modified>
</cp:coreProperties>
</file>